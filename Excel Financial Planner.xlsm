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8.xml" ContentType="application/vnd.openxmlformats-officedocument.spreadsheetml.table+xml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Projects\"/>
    </mc:Choice>
  </mc:AlternateContent>
  <xr:revisionPtr revIDLastSave="0" documentId="8_{668B966D-4081-415E-8872-F2BDCFF3B4D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Home" sheetId="10" r:id="rId1"/>
    <sheet name="Expenses" sheetId="1" r:id="rId2"/>
    <sheet name="Income" sheetId="8" r:id="rId3"/>
    <sheet name="Expense Output" sheetId="2" r:id="rId4"/>
    <sheet name="Income Output" sheetId="9" r:id="rId5"/>
    <sheet name="Budget" sheetId="7" r:id="rId6"/>
    <sheet name="Goals" sheetId="4" r:id="rId7"/>
    <sheet name="Financial Advice" sheetId="3" r:id="rId8"/>
    <sheet name="Resources" sheetId="11" r:id="rId9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  <c r="A3" i="3"/>
  <c r="A4" i="3"/>
  <c r="A5" i="3"/>
  <c r="A6" i="3"/>
  <c r="A7" i="3"/>
  <c r="A8" i="3"/>
  <c r="A9" i="3"/>
  <c r="A10" i="3"/>
  <c r="D2" i="3"/>
  <c r="D3" i="3"/>
  <c r="D4" i="3"/>
  <c r="D5" i="3"/>
  <c r="D6" i="3"/>
  <c r="D7" i="3"/>
  <c r="D8" i="3"/>
  <c r="D9" i="3"/>
  <c r="D10" i="3"/>
  <c r="B2" i="4"/>
  <c r="C2" i="3" s="1"/>
  <c r="B10" i="4"/>
  <c r="C10" i="3" s="1"/>
  <c r="B3" i="4" l="1"/>
  <c r="C3" i="3" s="1"/>
  <c r="B4" i="4"/>
  <c r="C4" i="3" s="1"/>
  <c r="B5" i="4"/>
  <c r="C5" i="3" s="1"/>
  <c r="B6" i="4"/>
  <c r="C6" i="3" s="1"/>
  <c r="B7" i="4"/>
  <c r="C7" i="3" s="1"/>
  <c r="B8" i="4"/>
  <c r="C8" i="3" s="1"/>
  <c r="B9" i="4"/>
  <c r="C9" i="3" s="1"/>
  <c r="I2" i="9" l="1"/>
  <c r="K9" i="2"/>
  <c r="K8" i="2"/>
  <c r="K7" i="2"/>
  <c r="K6" i="2"/>
  <c r="K5" i="2"/>
  <c r="K4" i="2"/>
  <c r="K3" i="2"/>
  <c r="K2" i="2"/>
</calcChain>
</file>

<file path=xl/sharedStrings.xml><?xml version="1.0" encoding="utf-8"?>
<sst xmlns="http://schemas.openxmlformats.org/spreadsheetml/2006/main" count="119" uniqueCount="71">
  <si>
    <t>Date</t>
  </si>
  <si>
    <t>Category</t>
  </si>
  <si>
    <t>Start Date</t>
  </si>
  <si>
    <t>End Date</t>
  </si>
  <si>
    <t>Expense</t>
  </si>
  <si>
    <t>Amount</t>
  </si>
  <si>
    <t>Housing Expense</t>
  </si>
  <si>
    <t>Debt Payment</t>
  </si>
  <si>
    <t>Expense Item</t>
  </si>
  <si>
    <t>Income Item</t>
  </si>
  <si>
    <t>Personal Expense</t>
  </si>
  <si>
    <t>Amount ($)</t>
  </si>
  <si>
    <t xml:space="preserve">Total </t>
  </si>
  <si>
    <t>Food Expense</t>
  </si>
  <si>
    <t>Transportation</t>
  </si>
  <si>
    <t>Medical Expense</t>
  </si>
  <si>
    <t>University Expense</t>
  </si>
  <si>
    <t>Total Income ($)</t>
  </si>
  <si>
    <t>Other</t>
  </si>
  <si>
    <t>Percentage of Income (%)</t>
  </si>
  <si>
    <t>Income</t>
  </si>
  <si>
    <t>Unallocated Income</t>
  </si>
  <si>
    <t xml:space="preserve">Expense </t>
  </si>
  <si>
    <t>Goal Percentage of Income (%)</t>
  </si>
  <si>
    <t>Click 'Add Expense' Button to add an expense</t>
  </si>
  <si>
    <t>Click 'Add Income' to add an income</t>
  </si>
  <si>
    <t xml:space="preserve">Click  the 'Expense Output' </t>
  </si>
  <si>
    <t>button to output</t>
  </si>
  <si>
    <t>data based on the start date</t>
  </si>
  <si>
    <t>and end date</t>
  </si>
  <si>
    <t>Click the 'Income</t>
  </si>
  <si>
    <t xml:space="preserve">Output' button to </t>
  </si>
  <si>
    <t>output data based</t>
  </si>
  <si>
    <t>on the start date</t>
  </si>
  <si>
    <t>Click the 'Calculate Budget'</t>
  </si>
  <si>
    <t>of income each expense</t>
  </si>
  <si>
    <t>uses in the table above</t>
  </si>
  <si>
    <t>Savings (Unallocated Income)</t>
  </si>
  <si>
    <t>Advice</t>
  </si>
  <si>
    <t>Date to Achieve Goal By</t>
  </si>
  <si>
    <t>Transportation Expense</t>
  </si>
  <si>
    <t>Savings (unallocated Income)</t>
  </si>
  <si>
    <t>Resources</t>
  </si>
  <si>
    <t>https://www.moneycrashers.com/easy-ways-make-housing-more-affordable/</t>
  </si>
  <si>
    <t>https://www.thesimpledollar.com/save-money/20-strategies-for-radically-cutting-your-food-expenses/</t>
  </si>
  <si>
    <t>http://www.youcandealwithit.com/borrowers/managing-money/saving/reduce-transportation-costs.shtml</t>
  </si>
  <si>
    <t>https://www.lifehack.org/articles/money/30-ways-cut-your-monthly-expenses.html</t>
  </si>
  <si>
    <t>https://www.getsmarteraboutmoney.ca/plan-manage/planning-basics/managing-debt/6-ways-to-reduce-debt/</t>
  </si>
  <si>
    <t>https://www.unispringboard.com/post/how-to-reduce-expenses-as-a-student</t>
  </si>
  <si>
    <t>https://n26.com/en-eu/blog/how-to-save-money-fast</t>
  </si>
  <si>
    <t>https://uwaterloo.ca/campus-wellness/health-services/student-medical-clinic/student-medical-insurance</t>
  </si>
  <si>
    <t>Financial Planner</t>
  </si>
  <si>
    <t>Input Expenses and Incomes</t>
  </si>
  <si>
    <t>Input start dates and end dates for expenses and incomes</t>
  </si>
  <si>
    <t>Calculate current budget</t>
  </si>
  <si>
    <t>Enter financial goals</t>
  </si>
  <si>
    <t>Get advice on how to achieve your financial goals</t>
  </si>
  <si>
    <t xml:space="preserve">Welcome! Follow the instructions below to start planning your finances. Remember to click the buttons to take you to each sheet! </t>
  </si>
  <si>
    <r>
      <rPr>
        <sz val="14"/>
        <color theme="1"/>
        <rFont val="Calibri"/>
        <family val="2"/>
        <scheme val="minor"/>
      </rPr>
      <t>Explore additional resources</t>
    </r>
    <r>
      <rPr>
        <sz val="11"/>
        <color theme="1"/>
        <rFont val="Calibri"/>
        <family val="2"/>
        <scheme val="minor"/>
      </rPr>
      <t xml:space="preserve"> </t>
    </r>
  </si>
  <si>
    <t>Graph compares the percentage of income used by each expense</t>
  </si>
  <si>
    <t>Click the 'Give Me Financial Advice' button.</t>
  </si>
  <si>
    <t>you have not.</t>
  </si>
  <si>
    <r>
      <rPr>
        <i/>
        <sz val="11"/>
        <color theme="1"/>
        <rFont val="Calibri"/>
        <family val="2"/>
        <scheme val="minor"/>
      </rPr>
      <t>button to display the percentage</t>
    </r>
    <r>
      <rPr>
        <sz val="11"/>
        <color theme="1"/>
        <rFont val="Calibri"/>
        <family val="2"/>
        <scheme val="minor"/>
      </rPr>
      <t xml:space="preserve"> </t>
    </r>
  </si>
  <si>
    <t>in green indicate you have met</t>
  </si>
  <si>
    <t>your goal, and red means</t>
  </si>
  <si>
    <t xml:space="preserve">Click 'Enter Financial Goals' </t>
  </si>
  <si>
    <t>Note that the other category is not included.</t>
  </si>
  <si>
    <t>to the unallocated income. The graph will autoupdate based on</t>
  </si>
  <si>
    <t>your current budget.</t>
  </si>
  <si>
    <t>Click the links provided to get additional information on how to save money in each expense category.</t>
  </si>
  <si>
    <t xml:space="preserve"> The cells highlighted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</si>
</sst>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6" fillId="0" borderId="0" applyNumberFormat="0" applyFill="0" applyBorder="0" applyAlignment="0" applyProtection="0"/>
  </cellStyleXfs>
  <cellXfs count="27">
    <xf numFmtId="0" fontId="0" fillId="0" borderId="0" xfId="0"/>
    <xf numFmtId="164" fontId="0" fillId="0" borderId="0" xfId="0" applyNumberFormat="1"/>
    <xf numFmtId="0" fontId="1" fillId="2" borderId="0" xfId="1"/>
    <xf numFmtId="0" fontId="1" fillId="3" borderId="2" xfId="1" applyFill="1" applyBorder="1"/>
    <xf numFmtId="0" fontId="1" fillId="0" borderId="1" xfId="1" applyFill="1" applyBorder="1"/>
    <xf numFmtId="2" fontId="0" fillId="0" borderId="0" xfId="0" applyNumberFormat="1"/>
    <xf numFmtId="0" fontId="1" fillId="5" borderId="2" xfId="1" applyFill="1" applyBorder="1"/>
    <xf numFmtId="0" fontId="1" fillId="5" borderId="0" xfId="0" applyFont="1" applyFill="1"/>
    <xf numFmtId="0" fontId="4" fillId="0" borderId="0" xfId="0" applyFont="1"/>
    <xf numFmtId="0" fontId="1" fillId="0" borderId="0" xfId="0" applyFont="1"/>
    <xf numFmtId="0" fontId="1" fillId="0" borderId="2" xfId="1" applyFill="1" applyBorder="1"/>
    <xf numFmtId="0" fontId="0" fillId="4" borderId="0" xfId="0" applyFill="1"/>
    <xf numFmtId="0" fontId="3" fillId="0" borderId="1" xfId="1" applyFont="1" applyFill="1" applyBorder="1"/>
    <xf numFmtId="0" fontId="1" fillId="2" borderId="3" xfId="1" applyBorder="1"/>
    <xf numFmtId="0" fontId="3" fillId="2" borderId="3" xfId="1" applyFont="1" applyBorder="1"/>
    <xf numFmtId="0" fontId="1" fillId="6" borderId="3" xfId="1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7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64" fontId="1" fillId="8" borderId="0" xfId="0" applyNumberFormat="1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4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0" fontId="6" fillId="0" borderId="0" xfId="2" applyBorder="1"/>
    <xf numFmtId="0" fontId="5" fillId="0" borderId="0" xfId="0" applyFont="1"/>
  </cellXfs>
  <cellStyles count="3">
    <cellStyle name="Accent5" xfId="1" builtinId="45"/>
    <cellStyle name="Hyperlink" xfId="2" builtinId="8"/>
    <cellStyle name="Normal" xfId="0" builtinId="0"/>
  </cellStyles>
  <dxfs count="29">
    <dxf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yyyy\-mm\-dd;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</dxf>
    <dxf>
      <numFmt numFmtId="164" formatCode="yyyy\-mm\-dd;@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numFmt numFmtId="2" formatCode="0.00"/>
    </dxf>
    <dxf>
      <border outline="0">
        <top style="thin">
          <color rgb="FFB2B2B2"/>
        </top>
      </border>
    </dxf>
    <dxf>
      <border outline="0">
        <bottom style="thin">
          <color rgb="FFB2B2B2"/>
        </bottom>
      </border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border outline="0">
        <top style="thin">
          <color rgb="FFB2B2B2"/>
        </top>
      </border>
    </dxf>
    <dxf>
      <border outline="0">
        <bottom style="thin">
          <color rgb="FFB2B2B2"/>
        </bottom>
      </border>
    </dxf>
    <dxf>
      <border diagonalUp="0" diagonalDown="0" outline="0">
        <left style="thin">
          <color rgb="FFB2B2B2"/>
        </left>
        <right style="thin">
          <color rgb="FFB2B2B2"/>
        </right>
        <top/>
        <bottom/>
      </border>
    </dxf>
    <dxf>
      <border outline="0">
        <top style="thin">
          <color rgb="FFB2B2B2"/>
        </top>
      </border>
    </dxf>
    <dxf>
      <border outline="0">
        <bottom style="thin">
          <color rgb="FFB2B2B2"/>
        </bottom>
      </border>
    </dxf>
    <dxf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rgb="FFB2B2B2"/>
        </left>
        <right style="thin">
          <color rgb="FFB2B2B2"/>
        </right>
        <top/>
        <bottom/>
      </border>
    </dxf>
    <dxf>
      <border outline="0">
        <top style="thin">
          <color rgb="FFB2B2B2"/>
        </top>
      </border>
    </dxf>
    <dxf>
      <border outline="0">
        <bottom style="thin">
          <color rgb="FFB2B2B2"/>
        </bottom>
      </border>
    </dxf>
    <dxf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rgb="FFB2B2B2"/>
        </left>
        <right style="thin">
          <color rgb="FFB2B2B2"/>
        </right>
        <top/>
        <bottom/>
      </border>
    </dxf>
  </dxfs>
  <tableStyles count="0" defaultTableStyle="TableStyleMedium2" defaultPivotStyle="PivotStyleMedium9"/>
  <colors>
    <mruColors>
      <color rgb="FFFCB8AA"/>
      <color rgb="FFFED5CA"/>
      <color rgb="FFFEC4B4"/>
      <color rgb="FFFA937E"/>
      <color rgb="FFFDA37B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Budget!$B$1</c:f>
              <c:strCache>
                <c:ptCount val="1"/>
                <c:pt idx="0">
                  <c:v>Percentage of Income (%)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A2-4F72-B6D1-3A6833E3BA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A2-4F72-B6D1-3A6833E3BA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A2-4F72-B6D1-3A6833E3BA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8A2-4F72-B6D1-3A6833E3BA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8A2-4F72-B6D1-3A6833E3BAA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8A2-4F72-B6D1-3A6833E3BAA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8A2-4F72-B6D1-3A6833E3BAA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8A2-4F72-B6D1-3A6833E3BAA6}"/>
              </c:ext>
            </c:extLst>
          </c:dPt>
          <c:cat>
            <c:strRef>
              <c:f>Budget!$A$2:$A$9</c:f>
              <c:strCache>
                <c:ptCount val="8"/>
                <c:pt idx="0">
                  <c:v>Housing Expense</c:v>
                </c:pt>
                <c:pt idx="1">
                  <c:v>Food Expense</c:v>
                </c:pt>
                <c:pt idx="2">
                  <c:v>Transportation</c:v>
                </c:pt>
                <c:pt idx="3">
                  <c:v>Personal Expense</c:v>
                </c:pt>
                <c:pt idx="4">
                  <c:v>Debt Payment</c:v>
                </c:pt>
                <c:pt idx="5">
                  <c:v>Medical Expense</c:v>
                </c:pt>
                <c:pt idx="6">
                  <c:v>University Expense</c:v>
                </c:pt>
                <c:pt idx="7">
                  <c:v>Other</c:v>
                </c:pt>
              </c:strCache>
            </c:strRef>
          </c:cat>
          <c:val>
            <c:numRef>
              <c:f>Budget!$B$2:$B$9</c:f>
              <c:numCache>
                <c:formatCode>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E67E-42CB-8D56-6C63A8A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 of Income</a:t>
            </a:r>
            <a:r>
              <a:rPr lang="en-US" baseline="0"/>
              <a:t> for each Expense</a:t>
            </a:r>
            <a:r>
              <a:rPr lang="en-US"/>
              <a:t>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Budget!$B$1</c:f>
              <c:strCache>
                <c:ptCount val="1"/>
                <c:pt idx="0">
                  <c:v>Percentage of Income (%)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19E-4F8B-982A-A94A293BD2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19E-4F8B-982A-A94A293BD2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19E-4F8B-982A-A94A293BD2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19E-4F8B-982A-A94A293BD29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19E-4F8B-982A-A94A293BD29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19E-4F8B-982A-A94A293BD29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19E-4F8B-982A-A94A293BD29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19E-4F8B-982A-A94A293BD29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19E-4F8B-982A-A94A293BD291}"/>
              </c:ext>
            </c:extLst>
          </c:dPt>
          <c:cat>
            <c:strRef>
              <c:f>Budget!$A$2:$A$10</c:f>
              <c:strCache>
                <c:ptCount val="9"/>
                <c:pt idx="0">
                  <c:v>Housing Expense</c:v>
                </c:pt>
                <c:pt idx="1">
                  <c:v>Food Expense</c:v>
                </c:pt>
                <c:pt idx="2">
                  <c:v>Transportation</c:v>
                </c:pt>
                <c:pt idx="3">
                  <c:v>Personal Expense</c:v>
                </c:pt>
                <c:pt idx="4">
                  <c:v>Debt Payment</c:v>
                </c:pt>
                <c:pt idx="5">
                  <c:v>Medical Expense</c:v>
                </c:pt>
                <c:pt idx="6">
                  <c:v>University Expense</c:v>
                </c:pt>
                <c:pt idx="7">
                  <c:v>Other</c:v>
                </c:pt>
                <c:pt idx="8">
                  <c:v>Unallocated Income</c:v>
                </c:pt>
              </c:strCache>
            </c:strRef>
          </c:cat>
          <c:val>
            <c:numRef>
              <c:f>Budget!$B$2:$B$10</c:f>
              <c:numCache>
                <c:formatCode>0.00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7587-4948-9845-AC57AE51E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388620</xdr:colOff>
          <xdr:row>4</xdr:row>
          <xdr:rowOff>175260</xdr:rowOff>
        </xdr:from>
        <xdr:to>
          <xdr:col>2</xdr:col>
          <xdr:colOff>518160</xdr:colOff>
          <xdr:row>7</xdr:row>
          <xdr:rowOff>129540</xdr:rowOff>
        </xdr:to>
        <xdr:sp macro="" textlink="">
          <xdr:nvSpPr>
            <xdr:cNvPr id="21507" name="CommandButton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0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182880</xdr:colOff>
          <xdr:row>4</xdr:row>
          <xdr:rowOff>152400</xdr:rowOff>
        </xdr:from>
        <xdr:to>
          <xdr:col>5</xdr:col>
          <xdr:colOff>281940</xdr:colOff>
          <xdr:row>7</xdr:row>
          <xdr:rowOff>106680</xdr:rowOff>
        </xdr:to>
        <xdr:sp macro="" textlink="">
          <xdr:nvSpPr>
            <xdr:cNvPr id="21508" name="CommandButton2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0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396240</xdr:colOff>
          <xdr:row>11</xdr:row>
          <xdr:rowOff>7620</xdr:rowOff>
        </xdr:from>
        <xdr:to>
          <xdr:col>2</xdr:col>
          <xdr:colOff>533400</xdr:colOff>
          <xdr:row>13</xdr:row>
          <xdr:rowOff>144780</xdr:rowOff>
        </xdr:to>
        <xdr:sp macro="" textlink="">
          <xdr:nvSpPr>
            <xdr:cNvPr id="21509" name="CommandButton3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0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10</xdr:row>
          <xdr:rowOff>175260</xdr:rowOff>
        </xdr:from>
        <xdr:to>
          <xdr:col>5</xdr:col>
          <xdr:colOff>411480</xdr:colOff>
          <xdr:row>13</xdr:row>
          <xdr:rowOff>129540</xdr:rowOff>
        </xdr:to>
        <xdr:sp macro="" textlink="">
          <xdr:nvSpPr>
            <xdr:cNvPr id="21510" name="CommandButton4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0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17</xdr:row>
          <xdr:rowOff>7620</xdr:rowOff>
        </xdr:from>
        <xdr:to>
          <xdr:col>4</xdr:col>
          <xdr:colOff>167640</xdr:colOff>
          <xdr:row>19</xdr:row>
          <xdr:rowOff>144780</xdr:rowOff>
        </xdr:to>
        <xdr:sp macro="" textlink="">
          <xdr:nvSpPr>
            <xdr:cNvPr id="21511" name="CommandButton5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0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22</xdr:row>
          <xdr:rowOff>152400</xdr:rowOff>
        </xdr:from>
        <xdr:to>
          <xdr:col>4</xdr:col>
          <xdr:colOff>175260</xdr:colOff>
          <xdr:row>25</xdr:row>
          <xdr:rowOff>106680</xdr:rowOff>
        </xdr:to>
        <xdr:sp macro="" textlink="">
          <xdr:nvSpPr>
            <xdr:cNvPr id="21512" name="CommandButton6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0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29</xdr:row>
          <xdr:rowOff>7620</xdr:rowOff>
        </xdr:from>
        <xdr:to>
          <xdr:col>4</xdr:col>
          <xdr:colOff>205740</xdr:colOff>
          <xdr:row>31</xdr:row>
          <xdr:rowOff>144780</xdr:rowOff>
        </xdr:to>
        <xdr:sp macro="" textlink="">
          <xdr:nvSpPr>
            <xdr:cNvPr id="21513" name="CommandButton7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0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35</xdr:row>
          <xdr:rowOff>53340</xdr:rowOff>
        </xdr:from>
        <xdr:to>
          <xdr:col>4</xdr:col>
          <xdr:colOff>213360</xdr:colOff>
          <xdr:row>38</xdr:row>
          <xdr:rowOff>7620</xdr:rowOff>
        </xdr:to>
        <xdr:sp macro="" textlink="">
          <xdr:nvSpPr>
            <xdr:cNvPr id="21521" name="CommandButton8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0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6</xdr:row>
          <xdr:rowOff>0</xdr:rowOff>
        </xdr:from>
        <xdr:to>
          <xdr:col>7</xdr:col>
          <xdr:colOff>525780</xdr:colOff>
          <xdr:row>8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1</xdr:row>
          <xdr:rowOff>60960</xdr:rowOff>
        </xdr:from>
        <xdr:to>
          <xdr:col>7</xdr:col>
          <xdr:colOff>525780</xdr:colOff>
          <xdr:row>4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</xdr:row>
          <xdr:rowOff>91440</xdr:rowOff>
        </xdr:from>
        <xdr:to>
          <xdr:col>6</xdr:col>
          <xdr:colOff>335280</xdr:colOff>
          <xdr:row>4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5</xdr:row>
          <xdr:rowOff>137160</xdr:rowOff>
        </xdr:from>
        <xdr:to>
          <xdr:col>6</xdr:col>
          <xdr:colOff>342900</xdr:colOff>
          <xdr:row>8</xdr:row>
          <xdr:rowOff>129540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4</xdr:row>
          <xdr:rowOff>53340</xdr:rowOff>
        </xdr:from>
        <xdr:to>
          <xdr:col>3</xdr:col>
          <xdr:colOff>289560</xdr:colOff>
          <xdr:row>6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259080</xdr:colOff>
          <xdr:row>1</xdr:row>
          <xdr:rowOff>76200</xdr:rowOff>
        </xdr:from>
        <xdr:to>
          <xdr:col>3</xdr:col>
          <xdr:colOff>289560</xdr:colOff>
          <xdr:row>3</xdr:row>
          <xdr:rowOff>60960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</xdr:row>
          <xdr:rowOff>30480</xdr:rowOff>
        </xdr:from>
        <xdr:to>
          <xdr:col>3</xdr:col>
          <xdr:colOff>449580</xdr:colOff>
          <xdr:row>2</xdr:row>
          <xdr:rowOff>129540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Income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4</xdr:row>
          <xdr:rowOff>15240</xdr:rowOff>
        </xdr:from>
        <xdr:to>
          <xdr:col>3</xdr:col>
          <xdr:colOff>419100</xdr:colOff>
          <xdr:row>5</xdr:row>
          <xdr:rowOff>106680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</xdr:row>
          <xdr:rowOff>68580</xdr:rowOff>
        </xdr:from>
        <xdr:to>
          <xdr:col>4</xdr:col>
          <xdr:colOff>525780</xdr:colOff>
          <xdr:row>4</xdr:row>
          <xdr:rowOff>68580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502920</xdr:colOff>
          <xdr:row>5</xdr:row>
          <xdr:rowOff>175260</xdr:rowOff>
        </xdr:from>
        <xdr:to>
          <xdr:col>4</xdr:col>
          <xdr:colOff>518160</xdr:colOff>
          <xdr:row>8</xdr:row>
          <xdr:rowOff>167640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251460</xdr:colOff>
      <xdr:row>6</xdr:row>
      <xdr:rowOff>102870</xdr:rowOff>
    </xdr:from>
    <xdr:to>
      <xdr:col>11</xdr:col>
      <xdr:colOff>556260</xdr:colOff>
      <xdr:row>21</xdr:row>
      <xdr:rowOff>102870</xdr:rowOff>
    </xdr:to>
    <xdr:graphicFrame macro="">
      <xdr:nvGraphicFramePr>
        <xdr:cNvPr id="22" name="Chart 21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586740</xdr:colOff>
      <xdr:row>1</xdr:row>
      <xdr:rowOff>76200</xdr:rowOff>
    </xdr:from>
    <xdr:to>
      <xdr:col>13</xdr:col>
      <xdr:colOff>281940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106680</xdr:rowOff>
        </xdr:from>
        <xdr:to>
          <xdr:col>1</xdr:col>
          <xdr:colOff>1592580</xdr:colOff>
          <xdr:row>14</xdr:row>
          <xdr:rowOff>53340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Financial Goals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</xdr:row>
          <xdr:rowOff>53340</xdr:rowOff>
        </xdr:from>
        <xdr:to>
          <xdr:col>7</xdr:col>
          <xdr:colOff>289560</xdr:colOff>
          <xdr:row>3</xdr:row>
          <xdr:rowOff>175260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Goals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144780</xdr:rowOff>
        </xdr:from>
        <xdr:to>
          <xdr:col>7</xdr:col>
          <xdr:colOff>281940</xdr:colOff>
          <xdr:row>8</xdr:row>
          <xdr:rowOff>68580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</xdr:colOff>
          <xdr:row>14</xdr:row>
          <xdr:rowOff>106680</xdr:rowOff>
        </xdr:from>
        <xdr:to>
          <xdr:col>2</xdr:col>
          <xdr:colOff>144780</xdr:colOff>
          <xdr:row>17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Give Me Financial Advice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929640</xdr:colOff>
          <xdr:row>14</xdr:row>
          <xdr:rowOff>91440</xdr:rowOff>
        </xdr:from>
        <xdr:to>
          <xdr:col>3</xdr:col>
          <xdr:colOff>739140</xdr:colOff>
          <xdr:row>16</xdr:row>
          <xdr:rowOff>160020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7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Advice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396240</xdr:colOff>
          <xdr:row>4</xdr:row>
          <xdr:rowOff>38100</xdr:rowOff>
        </xdr:from>
        <xdr:to>
          <xdr:col>6</xdr:col>
          <xdr:colOff>182880</xdr:colOff>
          <xdr:row>6</xdr:row>
          <xdr:rowOff>91440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7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Learn how to Save More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86A6D0-7844-47FE-89CF-FCEF76E2084C}" name="Table1" displayName="Table1" ref="A1:D1048576" totalsRowShown="0" headerRowDxfId="28" headerRowBorderDxfId="27" tableBorderDxfId="26" headerRowCellStyle="Accent5">
  <autoFilter ref="A1:D1048576" xr:uid="{4386A6D0-7844-47FE-89CF-FCEF76E2084C}"/>
  <tableColumns count="4">
    <tableColumn id="1" xr3:uid="{D6053D81-A897-4638-BC08-7E80C17422C0}" name="Date"/>
    <tableColumn id="2" xr3:uid="{61A10862-9D5F-40F2-8566-444B5C5ACF3E}" name="Expense Item"/>
    <tableColumn id="3" xr3:uid="{617A5E7D-5FC6-4CB0-AE7A-345F74CAE851}" name="Category"/>
    <tableColumn id="4" xr3:uid="{ABA26FEA-CC77-468C-BD56-6941EA07DF74}" name="Amount ($)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158F70-110D-494C-82FD-E8389B103812}" name="Table2" displayName="Table2" ref="A1:C1048576" totalsRowShown="0" headerRowDxfId="25" headerRowBorderDxfId="24" tableBorderDxfId="23" headerRowCellStyle="Accent5">
  <autoFilter ref="A1:C1048576" xr:uid="{BB158F70-110D-494C-82FD-E8389B103812}"/>
  <tableColumns count="3">
    <tableColumn id="1" xr3:uid="{58C08CE2-5BCA-4295-B6F0-20B99C807AEC}" name="Date"/>
    <tableColumn id="2" xr3:uid="{1E5B43AC-504B-408C-983B-42B4E79541DA}" name="Income Item"/>
    <tableColumn id="3" xr3:uid="{FAAE640F-6A17-465C-8F54-EB354B54EAF2}" name="Amount ($)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5DC8C2-FF0E-450D-94E3-C2D018BFD10D}" name="Table3" displayName="Table3" ref="E1:H1048576" totalsRowShown="0" headerRowDxfId="22" headerRowBorderDxfId="21" tableBorderDxfId="20" headerRowCellStyle="Accent5">
  <autoFilter ref="E1:H1048576" xr:uid="{615DC8C2-FF0E-450D-94E3-C2D018BFD10D}"/>
  <tableColumns count="4">
    <tableColumn id="1" xr3:uid="{0A134A26-B49A-475F-B7FA-90562FAA2278}" name="Date"/>
    <tableColumn id="2" xr3:uid="{4F3A1027-E93F-4405-A860-33474F6909AA}" name="Expense"/>
    <tableColumn id="3" xr3:uid="{C605B0B3-30CF-4E87-A0A9-A1C782B79593}" name="Category"/>
    <tableColumn id="4" xr3:uid="{27A5AEBA-1D1D-4040-B194-05CCBE46B421}" name="Amount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B3BB56-D8C9-481A-A1B6-4E2F84C59715}" name="Table5" displayName="Table5" ref="J1:K9" totalsRowShown="0" headerRowDxfId="19">
  <autoFilter ref="J1:K9" xr:uid="{C2B3BB56-D8C9-481A-A1B6-4E2F84C59715}"/>
  <tableColumns count="2">
    <tableColumn id="1" xr3:uid="{E716F2C1-E76A-457F-BF27-142BFF0ED6C8}" name="Category"/>
    <tableColumn id="2" xr3:uid="{3076076A-3C49-410E-B949-1F65C669E21E}" name="Total " dataDxfId="1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3FC4F4-FCF9-400B-A2A2-1522DA8E8909}" name="Table4" displayName="Table4" ref="E1:G1048576" totalsRowShown="0" headerRowBorderDxfId="17" tableBorderDxfId="16">
  <autoFilter ref="E1:G1048576" xr:uid="{CA3FC4F4-FCF9-400B-A2A2-1522DA8E8909}"/>
  <tableColumns count="3">
    <tableColumn id="1" xr3:uid="{BE898584-A309-44CD-9720-2088AC567A9B}" name="Date"/>
    <tableColumn id="2" xr3:uid="{37F27A9A-0B85-433C-881C-A3A1DBE613D2}" name="Income"/>
    <tableColumn id="3" xr3:uid="{8BF737D6-B5C6-41EF-81F4-1E2B84BCCC06}" name="Amount ($)" dataDxfId="15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8CC644D-657C-4C85-84E9-FD7B050FE664}" name="Table6" displayName="Table6" ref="I1:I2" totalsRowShown="0" headerRowDxfId="14" headerRowCellStyle="Accent5">
  <tableColumns count="1">
    <tableColumn id="1" xr3:uid="{6AC5C8B1-7596-421D-9BD4-59472FEAD3C6}" name="Total Income ($)" dataDxfId="13">
      <calculatedColumnFormula>SUM(G:G)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F19C05-F710-44CA-BAA5-D63596B826BE}" name="Table7" displayName="Table7" ref="A1:B10" totalsRowShown="0" headerRowDxfId="12">
  <autoFilter ref="A1:B10" xr:uid="{88F19C05-F710-44CA-BAA5-D63596B826BE}"/>
  <tableColumns count="2">
    <tableColumn id="1" xr3:uid="{A4FB7EAC-17D4-4CF0-867C-0482F8355609}" name="Expense "/>
    <tableColumn id="2" xr3:uid="{459B550F-F941-4E5B-8980-14A43F18AD4C}" name="Percentage of Income (%)" dataDxfId="11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ACA6CCD-57E7-4CDD-97BB-7B84BDE52779}" name="Table8" displayName="Table8" ref="A1:D10" totalsRowShown="0" headerRowDxfId="10">
  <autoFilter ref="A1:D10" xr:uid="{AACA6CCD-57E7-4CDD-97BB-7B84BDE52779}"/>
  <tableColumns count="4">
    <tableColumn id="1" xr3:uid="{B76DAC68-9796-4660-908A-601419ED274D}" name="Expense"/>
    <tableColumn id="2" xr3:uid="{376F855C-C307-4963-A542-B850AF30A4D6}" name="Percentage of Income (%)" dataDxfId="9">
      <calculatedColumnFormula>Budget!B2</calculatedColumnFormula>
    </tableColumn>
    <tableColumn id="3" xr3:uid="{9D11DDC3-A598-405D-9932-2F92CBAADAA8}" name="Goal Percentage of Income (%)" dataDxfId="8"/>
    <tableColumn id="4" xr3:uid="{380F1C28-6840-4498-86F9-F741EF756BA5}" name="Date" dataDxfId="7"/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660F4B0-7B19-4077-BE8F-448D4A01B266}" name="Table11" displayName="Table11" ref="A1:E10" totalsRowShown="0" headerRowDxfId="6">
  <autoFilter ref="A1:E10" xr:uid="{3660F4B0-7B19-4077-BE8F-448D4A01B266}"/>
  <tableColumns count="5">
    <tableColumn id="1" xr3:uid="{1B32E213-CCE0-48BF-9734-F0197688D8B4}" name="Date to Achieve Goal By" dataDxfId="5">
      <calculatedColumnFormula>Goals!D2</calculatedColumnFormula>
    </tableColumn>
    <tableColumn id="2" xr3:uid="{8EB3E8DF-4A02-4EDD-9411-C04DCCEA822B}" name="Expense" dataDxfId="4"/>
    <tableColumn id="3" xr3:uid="{C3795801-A279-46C6-95ED-34842BA52761}" name="Percentage of Income (%)" dataDxfId="3">
      <calculatedColumnFormula>Goals!B2</calculatedColumnFormula>
    </tableColumn>
    <tableColumn id="4" xr3:uid="{8D3FAD3A-BDF8-41BD-A43B-CE2D67C931F8}" name="Goal Percentage of Income (%)" dataDxfId="2">
      <calculatedColumnFormula>Goals!C2</calculatedColumnFormula>
    </tableColumn>
    <tableColumn id="5" xr3:uid="{5F0CAB77-3407-491D-8A85-327465F83280}" name="Advice" dataDxfId="1"/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37ED652-F49F-48FF-B1E4-78F6999CA130}" name="Table13" displayName="Table13" ref="A1:B9" totalsRowShown="0" headerRowDxfId="0">
  <autoFilter ref="A1:B9" xr:uid="{B37ED652-F49F-48FF-B1E4-78F6999CA130}"/>
  <tableColumns count="2">
    <tableColumn id="1" xr3:uid="{7CD7C215-4DBE-4CE8-A75C-35CACD08A346}" name="Expense"/>
    <tableColumn id="2" xr3:uid="{62A30897-D8AB-4716-B8A7-ED0AA05981AF}" name="Resources" dataCellStyle="Hyperlink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table" Target="../tables/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n26.com/en-eu/blog/how-to-save-money-fast" TargetMode="External"/><Relationship Id="rId3" Type="http://schemas.openxmlformats.org/officeDocument/2006/relationships/hyperlink" Target="http://www.youcandealwithit.com/borrowers/managing-money/saving/reduce-transportation-costs.shtml" TargetMode="External"/><Relationship Id="rId7" Type="http://schemas.openxmlformats.org/officeDocument/2006/relationships/hyperlink" Target="https://www.unispringboard.com/post/how-to-reduce-expenses-as-a-student" TargetMode="External"/><Relationship Id="rId2" Type="http://schemas.openxmlformats.org/officeDocument/2006/relationships/hyperlink" Target="https://www.thesimpledollar.com/save-money/20-strategies-for-radically-cutting-your-food-expenses/" TargetMode="External"/><Relationship Id="rId1" Type="http://schemas.openxmlformats.org/officeDocument/2006/relationships/hyperlink" Target="https://www.moneycrashers.com/easy-ways-make-housing-more-affordable/" TargetMode="External"/><Relationship Id="rId6" Type="http://schemas.openxmlformats.org/officeDocument/2006/relationships/hyperlink" Target="https://uwaterloo.ca/campus-wellness/health-services/student-medical-clinic/student-medical-insurance" TargetMode="External"/><Relationship Id="rId5" Type="http://schemas.openxmlformats.org/officeDocument/2006/relationships/hyperlink" Target="https://www.getsmarteraboutmoney.ca/plan-manage/planning-basics/managing-debt/6-ways-to-reduce-debt/" TargetMode="External"/><Relationship Id="rId4" Type="http://schemas.openxmlformats.org/officeDocument/2006/relationships/hyperlink" Target="https://www.lifehack.org/articles/money/30-ways-cut-your-monthly-expenses.html" TargetMode="Externa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CD767-69BB-442E-9D11-FD5BE9BB5261}">
  <sheetPr codeName="Sheet5">
    <tabColor theme="7" tint="0.59999389629810485"/>
  </sheetPr>
  <dimension ref="A1:B34"/>
  <sheetViews>
    <sheetView tabSelected="1" workbookViewId="0">
      <selection activeCell="C26" sqref="C26"/>
    </sheetView>
  </sheetViews>
  <sheetFormatPr defaultRowHeight="14.4" x14ac:dyDescent="0.3"/>
  <sheetData>
    <row r="1" spans="1:2" ht="33.6" x14ac:dyDescent="0.65">
      <c r="A1" s="23" t="s">
        <v>51</v>
      </c>
    </row>
    <row r="2" spans="1:2" x14ac:dyDescent="0.3">
      <c r="A2" s="24" t="s">
        <v>57</v>
      </c>
    </row>
    <row r="4" spans="1:2" ht="18" x14ac:dyDescent="0.35">
      <c r="A4">
        <v>1</v>
      </c>
      <c r="B4" s="26" t="s">
        <v>52</v>
      </c>
    </row>
    <row r="10" spans="1:2" ht="18" x14ac:dyDescent="0.35">
      <c r="A10">
        <v>2</v>
      </c>
      <c r="B10" s="26" t="s">
        <v>53</v>
      </c>
    </row>
    <row r="16" spans="1:2" ht="18" x14ac:dyDescent="0.35">
      <c r="A16">
        <v>3</v>
      </c>
      <c r="B16" s="26" t="s">
        <v>54</v>
      </c>
    </row>
    <row r="22" spans="1:2" ht="18" x14ac:dyDescent="0.35">
      <c r="A22">
        <v>4</v>
      </c>
      <c r="B22" s="26" t="s">
        <v>55</v>
      </c>
    </row>
    <row r="28" spans="1:2" ht="18" x14ac:dyDescent="0.35">
      <c r="A28">
        <v>5</v>
      </c>
      <c r="B28" s="26" t="s">
        <v>56</v>
      </c>
    </row>
    <row r="34" spans="1:2" ht="18" x14ac:dyDescent="0.35">
      <c r="A34">
        <v>6</v>
      </c>
      <c r="B34" t="s">
        <v>58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21" r:id="rId3" name="CommandButton8">
          <controlPr defaultSize="0" autoLine="0" r:id="rId4">
            <anchor moveWithCells="1">
              <from>
                <xdr:col>2</xdr:col>
                <xdr:colOff>76200</xdr:colOff>
                <xdr:row>35</xdr:row>
                <xdr:rowOff>53340</xdr:rowOff>
              </from>
              <to>
                <xdr:col>4</xdr:col>
                <xdr:colOff>213360</xdr:colOff>
                <xdr:row>38</xdr:row>
                <xdr:rowOff>7620</xdr:rowOff>
              </to>
            </anchor>
          </controlPr>
        </control>
      </mc:Choice>
      <mc:Fallback>
        <control shapeId="21521" r:id="rId3" name="CommandButton8"/>
      </mc:Fallback>
    </mc:AlternateContent>
    <mc:AlternateContent xmlns:mc="http://schemas.openxmlformats.org/markup-compatibility/2006">
      <mc:Choice Requires="x14">
        <control shapeId="21513" r:id="rId5" name="CommandButton7">
          <controlPr defaultSize="0" autoLine="0" r:id="rId6">
            <anchor moveWithCells="1">
              <from>
                <xdr:col>2</xdr:col>
                <xdr:colOff>68580</xdr:colOff>
                <xdr:row>29</xdr:row>
                <xdr:rowOff>7620</xdr:rowOff>
              </from>
              <to>
                <xdr:col>4</xdr:col>
                <xdr:colOff>205740</xdr:colOff>
                <xdr:row>31</xdr:row>
                <xdr:rowOff>144780</xdr:rowOff>
              </to>
            </anchor>
          </controlPr>
        </control>
      </mc:Choice>
      <mc:Fallback>
        <control shapeId="21513" r:id="rId5" name="CommandButton7"/>
      </mc:Fallback>
    </mc:AlternateContent>
    <mc:AlternateContent xmlns:mc="http://schemas.openxmlformats.org/markup-compatibility/2006">
      <mc:Choice Requires="x14">
        <control shapeId="21512" r:id="rId7" name="CommandButton6">
          <controlPr defaultSize="0" autoLine="0" r:id="rId8">
            <anchor moveWithCells="1">
              <from>
                <xdr:col>2</xdr:col>
                <xdr:colOff>38100</xdr:colOff>
                <xdr:row>22</xdr:row>
                <xdr:rowOff>152400</xdr:rowOff>
              </from>
              <to>
                <xdr:col>4</xdr:col>
                <xdr:colOff>175260</xdr:colOff>
                <xdr:row>25</xdr:row>
                <xdr:rowOff>106680</xdr:rowOff>
              </to>
            </anchor>
          </controlPr>
        </control>
      </mc:Choice>
      <mc:Fallback>
        <control shapeId="21512" r:id="rId7" name="CommandButton6"/>
      </mc:Fallback>
    </mc:AlternateContent>
    <mc:AlternateContent xmlns:mc="http://schemas.openxmlformats.org/markup-compatibility/2006">
      <mc:Choice Requires="x14">
        <control shapeId="21511" r:id="rId9" name="CommandButton5">
          <controlPr defaultSize="0" autoLine="0" r:id="rId10">
            <anchor moveWithCells="1">
              <from>
                <xdr:col>2</xdr:col>
                <xdr:colOff>30480</xdr:colOff>
                <xdr:row>17</xdr:row>
                <xdr:rowOff>7620</xdr:rowOff>
              </from>
              <to>
                <xdr:col>4</xdr:col>
                <xdr:colOff>167640</xdr:colOff>
                <xdr:row>19</xdr:row>
                <xdr:rowOff>144780</xdr:rowOff>
              </to>
            </anchor>
          </controlPr>
        </control>
      </mc:Choice>
      <mc:Fallback>
        <control shapeId="21511" r:id="rId9" name="CommandButton5"/>
      </mc:Fallback>
    </mc:AlternateContent>
    <mc:AlternateContent xmlns:mc="http://schemas.openxmlformats.org/markup-compatibility/2006">
      <mc:Choice Requires="x14">
        <control shapeId="21510" r:id="rId11" name="CommandButton4">
          <controlPr defaultSize="0" autoLine="0" r:id="rId12">
            <anchor moveWithCells="1">
              <from>
                <xdr:col>3</xdr:col>
                <xdr:colOff>274320</xdr:colOff>
                <xdr:row>10</xdr:row>
                <xdr:rowOff>175260</xdr:rowOff>
              </from>
              <to>
                <xdr:col>5</xdr:col>
                <xdr:colOff>411480</xdr:colOff>
                <xdr:row>13</xdr:row>
                <xdr:rowOff>129540</xdr:rowOff>
              </to>
            </anchor>
          </controlPr>
        </control>
      </mc:Choice>
      <mc:Fallback>
        <control shapeId="21510" r:id="rId11" name="CommandButton4"/>
      </mc:Fallback>
    </mc:AlternateContent>
    <mc:AlternateContent xmlns:mc="http://schemas.openxmlformats.org/markup-compatibility/2006">
      <mc:Choice Requires="x14">
        <control shapeId="21509" r:id="rId13" name="CommandButton3">
          <controlPr defaultSize="0" autoLine="0" r:id="rId14">
            <anchor moveWithCells="1">
              <from>
                <xdr:col>0</xdr:col>
                <xdr:colOff>396240</xdr:colOff>
                <xdr:row>11</xdr:row>
                <xdr:rowOff>7620</xdr:rowOff>
              </from>
              <to>
                <xdr:col>2</xdr:col>
                <xdr:colOff>533400</xdr:colOff>
                <xdr:row>13</xdr:row>
                <xdr:rowOff>144780</xdr:rowOff>
              </to>
            </anchor>
          </controlPr>
        </control>
      </mc:Choice>
      <mc:Fallback>
        <control shapeId="21509" r:id="rId13" name="CommandButton3"/>
      </mc:Fallback>
    </mc:AlternateContent>
    <mc:AlternateContent xmlns:mc="http://schemas.openxmlformats.org/markup-compatibility/2006">
      <mc:Choice Requires="x14">
        <control shapeId="21508" r:id="rId15" name="CommandButton2">
          <controlPr defaultSize="0" autoLine="0" r:id="rId16">
            <anchor moveWithCells="1">
              <from>
                <xdr:col>3</xdr:col>
                <xdr:colOff>182880</xdr:colOff>
                <xdr:row>4</xdr:row>
                <xdr:rowOff>152400</xdr:rowOff>
              </from>
              <to>
                <xdr:col>5</xdr:col>
                <xdr:colOff>281940</xdr:colOff>
                <xdr:row>7</xdr:row>
                <xdr:rowOff>106680</xdr:rowOff>
              </to>
            </anchor>
          </controlPr>
        </control>
      </mc:Choice>
      <mc:Fallback>
        <control shapeId="21508" r:id="rId15" name="CommandButton2"/>
      </mc:Fallback>
    </mc:AlternateContent>
    <mc:AlternateContent xmlns:mc="http://schemas.openxmlformats.org/markup-compatibility/2006">
      <mc:Choice Requires="x14">
        <control shapeId="21507" r:id="rId17" name="CommandButton1">
          <controlPr defaultSize="0" autoLine="0" r:id="rId18">
            <anchor moveWithCells="1">
              <from>
                <xdr:col>0</xdr:col>
                <xdr:colOff>388620</xdr:colOff>
                <xdr:row>4</xdr:row>
                <xdr:rowOff>175260</xdr:rowOff>
              </from>
              <to>
                <xdr:col>2</xdr:col>
                <xdr:colOff>518160</xdr:colOff>
                <xdr:row>7</xdr:row>
                <xdr:rowOff>129540</xdr:rowOff>
              </to>
            </anchor>
          </controlPr>
        </control>
      </mc:Choice>
      <mc:Fallback>
        <control shapeId="21507" r:id="rId1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K35"/>
  <sheetViews>
    <sheetView workbookViewId="0">
      <selection activeCell="G5" sqref="G5"/>
    </sheetView>
  </sheetViews>
  <sheetFormatPr defaultRowHeight="14.4" x14ac:dyDescent="0.3"/>
  <cols>
    <col min="1" max="4" width="15.77734375" customWidth="1"/>
    <col min="5" max="5" width="13.5546875" customWidth="1"/>
    <col min="10" max="10" width="17.21875" customWidth="1"/>
    <col min="11" max="11" width="12.6640625" customWidth="1"/>
    <col min="12" max="13" width="10.109375" customWidth="1"/>
  </cols>
  <sheetData>
    <row r="1" spans="1:11" x14ac:dyDescent="0.3">
      <c r="A1" s="15" t="s">
        <v>0</v>
      </c>
      <c r="B1" s="15" t="s">
        <v>8</v>
      </c>
      <c r="C1" s="15" t="s">
        <v>1</v>
      </c>
      <c r="D1" s="15" t="s">
        <v>11</v>
      </c>
      <c r="E1" s="3"/>
      <c r="J1" s="9"/>
      <c r="K1" s="9"/>
    </row>
    <row r="2" spans="1:11" x14ac:dyDescent="0.3">
      <c r="A2" s="1"/>
      <c r="D2" s="5"/>
      <c r="K2" s="5"/>
    </row>
    <row r="3" spans="1:11" x14ac:dyDescent="0.3">
      <c r="A3" s="1"/>
      <c r="D3" s="5"/>
      <c r="I3" s="24" t="s">
        <v>24</v>
      </c>
      <c r="K3" s="5"/>
    </row>
    <row r="4" spans="1:11" x14ac:dyDescent="0.3">
      <c r="A4" s="1"/>
      <c r="D4" s="5"/>
      <c r="K4" s="5"/>
    </row>
    <row r="5" spans="1:11" x14ac:dyDescent="0.3">
      <c r="A5" s="1"/>
      <c r="D5" s="5"/>
      <c r="K5" s="5"/>
    </row>
    <row r="6" spans="1:11" x14ac:dyDescent="0.3">
      <c r="A6" s="1"/>
      <c r="K6" s="5"/>
    </row>
    <row r="7" spans="1:11" x14ac:dyDescent="0.3">
      <c r="A7" s="1"/>
      <c r="K7" s="5"/>
    </row>
    <row r="8" spans="1:11" x14ac:dyDescent="0.3">
      <c r="A8" s="1"/>
      <c r="K8" s="5"/>
    </row>
    <row r="9" spans="1:11" x14ac:dyDescent="0.3">
      <c r="A9" s="1"/>
      <c r="K9" s="5"/>
    </row>
    <row r="10" spans="1:11" x14ac:dyDescent="0.3">
      <c r="A10" s="1"/>
    </row>
    <row r="11" spans="1:11" x14ac:dyDescent="0.3">
      <c r="A11" s="1"/>
    </row>
    <row r="12" spans="1:11" x14ac:dyDescent="0.3">
      <c r="A12" s="1"/>
      <c r="F12" s="8"/>
    </row>
    <row r="13" spans="1:11" x14ac:dyDescent="0.3">
      <c r="A13" s="1"/>
    </row>
    <row r="14" spans="1:11" x14ac:dyDescent="0.3">
      <c r="A14" s="1"/>
    </row>
    <row r="15" spans="1:11" x14ac:dyDescent="0.3">
      <c r="A15" s="1"/>
    </row>
    <row r="16" spans="1:11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Expenses">
                <anchor moveWithCells="1" sizeWithCells="1">
                  <from>
                    <xdr:col>5</xdr:col>
                    <xdr:colOff>541020</xdr:colOff>
                    <xdr:row>6</xdr:row>
                    <xdr:rowOff>0</xdr:rowOff>
                  </from>
                  <to>
                    <xdr:col>7</xdr:col>
                    <xdr:colOff>525780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Expense_Click">
                <anchor moveWithCells="1" sizeWithCells="1">
                  <from>
                    <xdr:col>5</xdr:col>
                    <xdr:colOff>518160</xdr:colOff>
                    <xdr:row>1</xdr:row>
                    <xdr:rowOff>60960</xdr:rowOff>
                  </from>
                  <to>
                    <xdr:col>7</xdr:col>
                    <xdr:colOff>525780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9309D-B011-4651-AB68-A1E5A728A88F}">
  <sheetPr codeName="Sheet8">
    <tabColor theme="0" tint="-0.249977111117893"/>
  </sheetPr>
  <dimension ref="A1:K12"/>
  <sheetViews>
    <sheetView workbookViewId="0">
      <selection activeCell="E19" sqref="E19"/>
    </sheetView>
  </sheetViews>
  <sheetFormatPr defaultRowHeight="14.4" x14ac:dyDescent="0.3"/>
  <cols>
    <col min="1" max="3" width="15.77734375" customWidth="1"/>
    <col min="5" max="5" width="9.88671875" customWidth="1"/>
    <col min="11" max="11" width="10.33203125" bestFit="1" customWidth="1"/>
  </cols>
  <sheetData>
    <row r="1" spans="1:11" x14ac:dyDescent="0.3">
      <c r="A1" s="15" t="s">
        <v>0</v>
      </c>
      <c r="B1" s="15" t="s">
        <v>9</v>
      </c>
      <c r="C1" s="15" t="s">
        <v>11</v>
      </c>
      <c r="D1" s="4"/>
      <c r="E1" s="3"/>
      <c r="I1" s="10"/>
    </row>
    <row r="2" spans="1:11" x14ac:dyDescent="0.3">
      <c r="A2" s="1"/>
      <c r="C2" s="5"/>
      <c r="K2" s="1"/>
    </row>
    <row r="3" spans="1:11" x14ac:dyDescent="0.3">
      <c r="A3" s="1"/>
      <c r="C3" s="5"/>
      <c r="H3" s="24" t="s">
        <v>25</v>
      </c>
    </row>
    <row r="4" spans="1:11" x14ac:dyDescent="0.3">
      <c r="A4" s="1"/>
    </row>
    <row r="5" spans="1:11" x14ac:dyDescent="0.3">
      <c r="A5" s="1"/>
    </row>
    <row r="6" spans="1:11" x14ac:dyDescent="0.3">
      <c r="A6" s="1"/>
    </row>
    <row r="7" spans="1:11" x14ac:dyDescent="0.3">
      <c r="A7" s="1"/>
    </row>
    <row r="8" spans="1:11" x14ac:dyDescent="0.3">
      <c r="A8" s="1"/>
    </row>
    <row r="9" spans="1:11" x14ac:dyDescent="0.3">
      <c r="A9" s="1"/>
    </row>
    <row r="10" spans="1:11" x14ac:dyDescent="0.3">
      <c r="A10" s="1"/>
    </row>
    <row r="11" spans="1:11" x14ac:dyDescent="0.3">
      <c r="A11" s="1"/>
    </row>
    <row r="12" spans="1:11" x14ac:dyDescent="0.3">
      <c r="A1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Income_Button_Click">
                <anchor moveWithCells="1" sizeWithCells="1">
                  <from>
                    <xdr:col>4</xdr:col>
                    <xdr:colOff>312420</xdr:colOff>
                    <xdr:row>1</xdr:row>
                    <xdr:rowOff>91440</xdr:rowOff>
                  </from>
                  <to>
                    <xdr:col>6</xdr:col>
                    <xdr:colOff>335280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ClearIncomes">
                <anchor moveWithCells="1" sizeWithCells="1">
                  <from>
                    <xdr:col>4</xdr:col>
                    <xdr:colOff>312420</xdr:colOff>
                    <xdr:row>5</xdr:row>
                    <xdr:rowOff>137160</xdr:rowOff>
                  </from>
                  <to>
                    <xdr:col>6</xdr:col>
                    <xdr:colOff>342900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>
    <tabColor theme="8" tint="0.59999389629810485"/>
  </sheetPr>
  <dimension ref="A1:R12"/>
  <sheetViews>
    <sheetView workbookViewId="0">
      <selection activeCell="L13" sqref="L13"/>
    </sheetView>
  </sheetViews>
  <sheetFormatPr defaultRowHeight="14.4" x14ac:dyDescent="0.3"/>
  <cols>
    <col min="1" max="1" width="18.109375" customWidth="1"/>
    <col min="5" max="11" width="15.77734375" customWidth="1"/>
    <col min="14" max="14" width="10.33203125" bestFit="1" customWidth="1"/>
  </cols>
  <sheetData>
    <row r="1" spans="1:18" x14ac:dyDescent="0.3">
      <c r="A1" s="2" t="s">
        <v>2</v>
      </c>
      <c r="E1" s="13" t="s">
        <v>0</v>
      </c>
      <c r="F1" s="14" t="s">
        <v>4</v>
      </c>
      <c r="G1" s="13" t="s">
        <v>1</v>
      </c>
      <c r="H1" s="13" t="s">
        <v>5</v>
      </c>
      <c r="J1" s="7" t="s">
        <v>1</v>
      </c>
      <c r="K1" s="7" t="s">
        <v>12</v>
      </c>
      <c r="L1" s="4"/>
      <c r="N1" s="4"/>
      <c r="O1" s="12"/>
      <c r="P1" s="4"/>
      <c r="Q1" s="4"/>
      <c r="R1" s="10"/>
    </row>
    <row r="2" spans="1:18" x14ac:dyDescent="0.3">
      <c r="A2" s="1"/>
      <c r="E2" s="1"/>
      <c r="J2" t="s">
        <v>6</v>
      </c>
      <c r="K2" s="5">
        <f>SUMIF(G:G, "Housing Expense", H:H)</f>
        <v>0</v>
      </c>
      <c r="N2" s="1"/>
      <c r="R2" s="5"/>
    </row>
    <row r="3" spans="1:18" x14ac:dyDescent="0.3">
      <c r="A3" s="2" t="s">
        <v>3</v>
      </c>
      <c r="E3" s="1"/>
      <c r="J3" t="s">
        <v>13</v>
      </c>
      <c r="K3" s="5">
        <f>SUMIF(G:G, "Food Expense", H:H)</f>
        <v>0</v>
      </c>
    </row>
    <row r="4" spans="1:18" x14ac:dyDescent="0.3">
      <c r="A4" s="1"/>
      <c r="E4" s="1"/>
      <c r="J4" t="s">
        <v>14</v>
      </c>
      <c r="K4" s="5">
        <f>SUMIF(G:G, "Transportation", H:H)</f>
        <v>0</v>
      </c>
    </row>
    <row r="5" spans="1:18" x14ac:dyDescent="0.3">
      <c r="E5" s="1"/>
      <c r="J5" t="s">
        <v>10</v>
      </c>
      <c r="K5" s="5">
        <f>SUMIF(G:G, "Personal Expense", H:H)</f>
        <v>0</v>
      </c>
    </row>
    <row r="6" spans="1:18" x14ac:dyDescent="0.3">
      <c r="E6" s="1"/>
      <c r="J6" t="s">
        <v>7</v>
      </c>
      <c r="K6" s="5">
        <f>SUMIF(G:G, "Debt Payment", H:H)</f>
        <v>0</v>
      </c>
    </row>
    <row r="7" spans="1:18" x14ac:dyDescent="0.3">
      <c r="E7" s="1"/>
      <c r="J7" t="s">
        <v>15</v>
      </c>
      <c r="K7" s="5">
        <f>SUMIF(G:G, "Medical Expense", H:H)</f>
        <v>0</v>
      </c>
    </row>
    <row r="8" spans="1:18" x14ac:dyDescent="0.3">
      <c r="E8" s="1"/>
      <c r="J8" t="s">
        <v>16</v>
      </c>
      <c r="K8" s="5">
        <f>SUMIF(G:G, "University Expense", H:H)</f>
        <v>0</v>
      </c>
    </row>
    <row r="9" spans="1:18" x14ac:dyDescent="0.3">
      <c r="B9" s="24" t="s">
        <v>26</v>
      </c>
      <c r="E9" s="1"/>
      <c r="J9" t="s">
        <v>18</v>
      </c>
      <c r="K9" s="5">
        <f>SUMIF(G:G, "Other", H:H)</f>
        <v>0</v>
      </c>
    </row>
    <row r="10" spans="1:18" x14ac:dyDescent="0.3">
      <c r="B10" s="24" t="s">
        <v>27</v>
      </c>
    </row>
    <row r="11" spans="1:18" x14ac:dyDescent="0.3">
      <c r="B11" s="24" t="s">
        <v>28</v>
      </c>
      <c r="J11" s="24"/>
    </row>
    <row r="12" spans="1:18" x14ac:dyDescent="0.3">
      <c r="B12" s="24" t="s">
        <v>29</v>
      </c>
      <c r="J12" s="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rOutput">
                <anchor moveWithCells="1" sizeWithCells="1">
                  <from>
                    <xdr:col>1</xdr:col>
                    <xdr:colOff>243840</xdr:colOff>
                    <xdr:row>4</xdr:row>
                    <xdr:rowOff>53340</xdr:rowOff>
                  </from>
                  <to>
                    <xdr:col>3</xdr:col>
                    <xdr:colOff>289560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4_Click">
                <anchor moveWithCells="1" sizeWithCells="1">
                  <from>
                    <xdr:col>1</xdr:col>
                    <xdr:colOff>259080</xdr:colOff>
                    <xdr:row>1</xdr:row>
                    <xdr:rowOff>76200</xdr:rowOff>
                  </from>
                  <to>
                    <xdr:col>3</xdr:col>
                    <xdr:colOff>289560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01D6-BF9E-428A-AB15-EA09D354DF92}">
  <sheetPr codeName="Sheet6">
    <tabColor theme="8" tint="0.59999389629810485"/>
  </sheetPr>
  <dimension ref="A1:N12"/>
  <sheetViews>
    <sheetView workbookViewId="0">
      <selection activeCell="D19" sqref="D19"/>
    </sheetView>
  </sheetViews>
  <sheetFormatPr defaultRowHeight="14.4" x14ac:dyDescent="0.3"/>
  <cols>
    <col min="1" max="1" width="10.33203125" bestFit="1" customWidth="1"/>
    <col min="5" max="6" width="15.77734375" customWidth="1"/>
    <col min="7" max="7" width="15.77734375" style="5" customWidth="1"/>
    <col min="8" max="9" width="15.77734375" customWidth="1"/>
  </cols>
  <sheetData>
    <row r="1" spans="1:14" x14ac:dyDescent="0.3">
      <c r="A1" s="2" t="s">
        <v>2</v>
      </c>
      <c r="B1" s="11"/>
      <c r="E1" s="13" t="s">
        <v>0</v>
      </c>
      <c r="F1" s="14" t="s">
        <v>20</v>
      </c>
      <c r="G1" s="13" t="s">
        <v>11</v>
      </c>
      <c r="I1" s="6" t="s">
        <v>17</v>
      </c>
    </row>
    <row r="2" spans="1:14" x14ac:dyDescent="0.3">
      <c r="A2" s="1"/>
      <c r="E2" s="1"/>
      <c r="I2" s="5">
        <f>SUM(G:G)</f>
        <v>0</v>
      </c>
      <c r="N2" s="1"/>
    </row>
    <row r="3" spans="1:14" x14ac:dyDescent="0.3">
      <c r="A3" s="2" t="s">
        <v>3</v>
      </c>
      <c r="B3" s="11"/>
    </row>
    <row r="4" spans="1:14" x14ac:dyDescent="0.3">
      <c r="A4" s="1"/>
    </row>
    <row r="8" spans="1:14" x14ac:dyDescent="0.3">
      <c r="C8" s="24" t="s">
        <v>30</v>
      </c>
    </row>
    <row r="9" spans="1:14" x14ac:dyDescent="0.3">
      <c r="C9" s="24" t="s">
        <v>31</v>
      </c>
    </row>
    <row r="10" spans="1:14" x14ac:dyDescent="0.3">
      <c r="C10" s="24" t="s">
        <v>32</v>
      </c>
    </row>
    <row r="11" spans="1:14" x14ac:dyDescent="0.3">
      <c r="C11" s="24" t="s">
        <v>33</v>
      </c>
    </row>
    <row r="12" spans="1:14" x14ac:dyDescent="0.3">
      <c r="C12" s="24" t="s">
        <v>29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4" r:id="rId4" name="Button 6">
              <controlPr defaultSize="0" print="0" autoFill="0" autoPict="0" macro="[0]!IncomeOutput">
                <anchor moveWithCells="1" sizeWithCells="1">
                  <from>
                    <xdr:col>2</xdr:col>
                    <xdr:colOff>76200</xdr:colOff>
                    <xdr:row>1</xdr:row>
                    <xdr:rowOff>30480</xdr:rowOff>
                  </from>
                  <to>
                    <xdr:col>3</xdr:col>
                    <xdr:colOff>449580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5" name="Button 7">
              <controlPr defaultSize="0" print="0" autoFill="0" autoPict="0" macro="[0]!ClearIncomeOutput">
                <anchor moveWithCells="1" sizeWithCells="1">
                  <from>
                    <xdr:col>2</xdr:col>
                    <xdr:colOff>60960</xdr:colOff>
                    <xdr:row>4</xdr:row>
                    <xdr:rowOff>15240</xdr:rowOff>
                  </from>
                  <to>
                    <xdr:col>3</xdr:col>
                    <xdr:colOff>419100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A3F35-08F0-4F58-9182-789A101EBE55}">
  <sheetPr codeName="Sheet7">
    <tabColor theme="9" tint="0.59999389629810485"/>
  </sheetPr>
  <dimension ref="A1:H20"/>
  <sheetViews>
    <sheetView workbookViewId="0">
      <selection activeCell="E23" sqref="E23"/>
    </sheetView>
  </sheetViews>
  <sheetFormatPr defaultRowHeight="14.4" x14ac:dyDescent="0.3"/>
  <cols>
    <col min="1" max="1" width="20.88671875" customWidth="1"/>
    <col min="2" max="2" width="23.77734375" customWidth="1"/>
  </cols>
  <sheetData>
    <row r="1" spans="1:2" x14ac:dyDescent="0.3">
      <c r="A1" s="18" t="s">
        <v>22</v>
      </c>
      <c r="B1" s="18" t="s">
        <v>19</v>
      </c>
    </row>
    <row r="2" spans="1:2" x14ac:dyDescent="0.3">
      <c r="A2" t="s">
        <v>6</v>
      </c>
      <c r="B2" s="5"/>
    </row>
    <row r="3" spans="1:2" x14ac:dyDescent="0.3">
      <c r="A3" t="s">
        <v>13</v>
      </c>
      <c r="B3" s="5"/>
    </row>
    <row r="4" spans="1:2" x14ac:dyDescent="0.3">
      <c r="A4" t="s">
        <v>14</v>
      </c>
      <c r="B4" s="5"/>
    </row>
    <row r="5" spans="1:2" x14ac:dyDescent="0.3">
      <c r="A5" t="s">
        <v>10</v>
      </c>
      <c r="B5" s="5"/>
    </row>
    <row r="6" spans="1:2" x14ac:dyDescent="0.3">
      <c r="A6" t="s">
        <v>7</v>
      </c>
      <c r="B6" s="5"/>
    </row>
    <row r="7" spans="1:2" x14ac:dyDescent="0.3">
      <c r="A7" t="s">
        <v>15</v>
      </c>
      <c r="B7" s="5"/>
    </row>
    <row r="8" spans="1:2" x14ac:dyDescent="0.3">
      <c r="A8" t="s">
        <v>16</v>
      </c>
      <c r="B8" s="5"/>
    </row>
    <row r="9" spans="1:2" x14ac:dyDescent="0.3">
      <c r="A9" t="s">
        <v>18</v>
      </c>
      <c r="B9" s="5"/>
    </row>
    <row r="10" spans="1:2" x14ac:dyDescent="0.3">
      <c r="A10" s="8" t="s">
        <v>21</v>
      </c>
      <c r="B10" s="5"/>
    </row>
    <row r="12" spans="1:2" x14ac:dyDescent="0.3">
      <c r="B12" s="24" t="s">
        <v>34</v>
      </c>
    </row>
    <row r="13" spans="1:2" x14ac:dyDescent="0.3">
      <c r="B13" t="s">
        <v>62</v>
      </c>
    </row>
    <row r="14" spans="1:2" x14ac:dyDescent="0.3">
      <c r="B14" s="24" t="s">
        <v>35</v>
      </c>
    </row>
    <row r="15" spans="1:2" x14ac:dyDescent="0.3">
      <c r="B15" s="24" t="s">
        <v>36</v>
      </c>
    </row>
    <row r="18" spans="8:8" x14ac:dyDescent="0.3">
      <c r="H18" s="24" t="s">
        <v>59</v>
      </c>
    </row>
    <row r="19" spans="8:8" x14ac:dyDescent="0.3">
      <c r="H19" s="24" t="s">
        <v>67</v>
      </c>
    </row>
    <row r="20" spans="8:8" x14ac:dyDescent="0.3">
      <c r="H20" s="24" t="s">
        <v>68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Output_Button3_Click">
                <anchor moveWithCells="1" sizeWithCells="1">
                  <from>
                    <xdr:col>2</xdr:col>
                    <xdr:colOff>457200</xdr:colOff>
                    <xdr:row>1</xdr:row>
                    <xdr:rowOff>68580</xdr:rowOff>
                  </from>
                  <to>
                    <xdr:col>4</xdr:col>
                    <xdr:colOff>525780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ClearBudget">
                <anchor moveWithCells="1" sizeWithCells="1">
                  <from>
                    <xdr:col>2</xdr:col>
                    <xdr:colOff>502920</xdr:colOff>
                    <xdr:row>5</xdr:row>
                    <xdr:rowOff>175260</xdr:rowOff>
                  </from>
                  <to>
                    <xdr:col>4</xdr:col>
                    <xdr:colOff>518160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BA61-2BDE-4C30-98DE-5DC76A187758}">
  <sheetPr codeName="Sheet4">
    <tabColor theme="9" tint="0.59999389629810485"/>
  </sheetPr>
  <dimension ref="A1:D16"/>
  <sheetViews>
    <sheetView workbookViewId="0">
      <selection activeCell="B22" sqref="B22"/>
    </sheetView>
  </sheetViews>
  <sheetFormatPr defaultRowHeight="14.4" x14ac:dyDescent="0.3"/>
  <cols>
    <col min="1" max="4" width="30.77734375" customWidth="1"/>
    <col min="13" max="13" width="50.77734375" customWidth="1"/>
  </cols>
  <sheetData>
    <row r="1" spans="1:4" x14ac:dyDescent="0.3">
      <c r="A1" s="18" t="s">
        <v>4</v>
      </c>
      <c r="B1" s="18" t="s">
        <v>19</v>
      </c>
      <c r="C1" s="18" t="s">
        <v>23</v>
      </c>
      <c r="D1" s="18" t="s">
        <v>0</v>
      </c>
    </row>
    <row r="2" spans="1:4" x14ac:dyDescent="0.3">
      <c r="A2" s="1" t="s">
        <v>6</v>
      </c>
      <c r="B2" s="5">
        <f>Budget!B2</f>
        <v>0</v>
      </c>
      <c r="C2" s="5"/>
      <c r="D2" s="1"/>
    </row>
    <row r="3" spans="1:4" x14ac:dyDescent="0.3">
      <c r="A3" s="1" t="s">
        <v>13</v>
      </c>
      <c r="B3" s="5">
        <f>Budget!B3</f>
        <v>0</v>
      </c>
      <c r="C3" s="5"/>
      <c r="D3" s="1"/>
    </row>
    <row r="4" spans="1:4" x14ac:dyDescent="0.3">
      <c r="A4" t="s">
        <v>14</v>
      </c>
      <c r="B4" s="5">
        <f>Budget!B4</f>
        <v>0</v>
      </c>
      <c r="C4" s="5"/>
      <c r="D4" s="1"/>
    </row>
    <row r="5" spans="1:4" x14ac:dyDescent="0.3">
      <c r="A5" t="s">
        <v>10</v>
      </c>
      <c r="B5" s="5">
        <f>Budget!B5</f>
        <v>0</v>
      </c>
      <c r="C5" s="5"/>
      <c r="D5" s="1"/>
    </row>
    <row r="6" spans="1:4" x14ac:dyDescent="0.3">
      <c r="A6" t="s">
        <v>7</v>
      </c>
      <c r="B6" s="5">
        <f>Budget!B6</f>
        <v>0</v>
      </c>
      <c r="C6" s="5"/>
      <c r="D6" s="1"/>
    </row>
    <row r="7" spans="1:4" x14ac:dyDescent="0.3">
      <c r="A7" t="s">
        <v>15</v>
      </c>
      <c r="B7" s="5">
        <f>Budget!B7</f>
        <v>0</v>
      </c>
      <c r="C7" s="5"/>
      <c r="D7" s="1"/>
    </row>
    <row r="8" spans="1:4" x14ac:dyDescent="0.3">
      <c r="A8" t="s">
        <v>16</v>
      </c>
      <c r="B8" s="5">
        <f>Budget!B8</f>
        <v>0</v>
      </c>
      <c r="C8" s="5"/>
      <c r="D8" s="1"/>
    </row>
    <row r="9" spans="1:4" x14ac:dyDescent="0.3">
      <c r="A9" t="s">
        <v>18</v>
      </c>
      <c r="B9" s="5">
        <f>Budget!B9</f>
        <v>0</v>
      </c>
      <c r="C9" s="5"/>
      <c r="D9" s="1"/>
    </row>
    <row r="10" spans="1:4" x14ac:dyDescent="0.3">
      <c r="A10" s="8" t="s">
        <v>37</v>
      </c>
      <c r="B10" s="5">
        <f>Budget!B10</f>
        <v>0</v>
      </c>
      <c r="C10" s="5"/>
      <c r="D10" s="1"/>
    </row>
    <row r="16" spans="1:4" x14ac:dyDescent="0.3">
      <c r="B16" s="24" t="s">
        <v>65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4" name="Button 3">
              <controlPr defaultSize="0" print="0" autoFill="0" autoPict="0" macro="[0]!FinancialGoals_Click">
                <anchor moveWithCells="1" sizeWithCells="1">
                  <from>
                    <xdr:col>1</xdr:col>
                    <xdr:colOff>38100</xdr:colOff>
                    <xdr:row>11</xdr:row>
                    <xdr:rowOff>106680</xdr:rowOff>
                  </from>
                  <to>
                    <xdr:col>1</xdr:col>
                    <xdr:colOff>1592580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clearGoals">
                <anchor moveWithCells="1" sizeWithCells="1">
                  <from>
                    <xdr:col>4</xdr:col>
                    <xdr:colOff>579120</xdr:colOff>
                    <xdr:row>1</xdr:row>
                    <xdr:rowOff>53340</xdr:rowOff>
                  </from>
                  <to>
                    <xdr:col>7</xdr:col>
                    <xdr:colOff>289560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6" name="Button 5">
              <controlPr defaultSize="0" print="0" autoFill="0" autoPict="0" macro="[0]!clearGoalDates">
                <anchor moveWithCells="1" sizeWithCells="1">
                  <from>
                    <xdr:col>5</xdr:col>
                    <xdr:colOff>0</xdr:colOff>
                    <xdr:row>5</xdr:row>
                    <xdr:rowOff>144780</xdr:rowOff>
                  </from>
                  <to>
                    <xdr:col>7</xdr:col>
                    <xdr:colOff>281940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>
    <tabColor rgb="FFFCB8AA"/>
  </sheetPr>
  <dimension ref="A1:E23"/>
  <sheetViews>
    <sheetView workbookViewId="0">
      <selection activeCell="E16" sqref="E16"/>
    </sheetView>
  </sheetViews>
  <sheetFormatPr defaultRowHeight="14.4" x14ac:dyDescent="0.3"/>
  <cols>
    <col min="1" max="1" width="22.44140625" customWidth="1"/>
    <col min="2" max="2" width="26.33203125" customWidth="1"/>
    <col min="3" max="3" width="28.77734375" customWidth="1"/>
    <col min="4" max="4" width="28" customWidth="1"/>
    <col min="5" max="5" width="24.21875" customWidth="1"/>
    <col min="6" max="6" width="29.109375" bestFit="1" customWidth="1"/>
  </cols>
  <sheetData>
    <row r="1" spans="1:5" x14ac:dyDescent="0.3">
      <c r="A1" s="20" t="s">
        <v>39</v>
      </c>
      <c r="B1" s="21" t="s">
        <v>4</v>
      </c>
      <c r="C1" s="21" t="s">
        <v>19</v>
      </c>
      <c r="D1" s="21" t="s">
        <v>23</v>
      </c>
      <c r="E1" s="21" t="s">
        <v>38</v>
      </c>
    </row>
    <row r="2" spans="1:5" x14ac:dyDescent="0.3">
      <c r="A2" s="16">
        <f>Goals!D2</f>
        <v>0</v>
      </c>
      <c r="B2" s="17" t="s">
        <v>6</v>
      </c>
      <c r="C2" s="19">
        <f>Goals!B2</f>
        <v>0</v>
      </c>
      <c r="D2" s="5">
        <f>Goals!C2</f>
        <v>0</v>
      </c>
      <c r="E2" s="5"/>
    </row>
    <row r="3" spans="1:5" x14ac:dyDescent="0.3">
      <c r="A3" s="16">
        <f>Goals!D3</f>
        <v>0</v>
      </c>
      <c r="B3" s="17" t="s">
        <v>13</v>
      </c>
      <c r="C3" s="19">
        <f>Goals!B3</f>
        <v>0</v>
      </c>
      <c r="D3" s="5">
        <f>Goals!C3</f>
        <v>0</v>
      </c>
      <c r="E3" s="5"/>
    </row>
    <row r="4" spans="1:5" x14ac:dyDescent="0.3">
      <c r="A4" s="16">
        <f>Goals!D4</f>
        <v>0</v>
      </c>
      <c r="B4" s="17" t="s">
        <v>40</v>
      </c>
      <c r="C4" s="19">
        <f>Goals!B4</f>
        <v>0</v>
      </c>
      <c r="D4" s="5">
        <f>Goals!C4</f>
        <v>0</v>
      </c>
      <c r="E4" s="5"/>
    </row>
    <row r="5" spans="1:5" x14ac:dyDescent="0.3">
      <c r="A5" s="16">
        <f>Goals!D5</f>
        <v>0</v>
      </c>
      <c r="B5" s="17" t="s">
        <v>10</v>
      </c>
      <c r="C5" s="19">
        <f>Goals!B5</f>
        <v>0</v>
      </c>
      <c r="D5" s="5">
        <f>Goals!C5</f>
        <v>0</v>
      </c>
      <c r="E5" s="5"/>
    </row>
    <row r="6" spans="1:5" x14ac:dyDescent="0.3">
      <c r="A6" s="16">
        <f>Goals!D6</f>
        <v>0</v>
      </c>
      <c r="B6" s="17" t="s">
        <v>7</v>
      </c>
      <c r="C6" s="19">
        <f>Goals!B6</f>
        <v>0</v>
      </c>
      <c r="D6" s="5">
        <f>Goals!C6</f>
        <v>0</v>
      </c>
      <c r="E6" s="5"/>
    </row>
    <row r="7" spans="1:5" x14ac:dyDescent="0.3">
      <c r="A7" s="16">
        <f>Goals!D7</f>
        <v>0</v>
      </c>
      <c r="B7" s="17" t="s">
        <v>15</v>
      </c>
      <c r="C7" s="19">
        <f>Goals!B7</f>
        <v>0</v>
      </c>
      <c r="D7" s="5">
        <f>Goals!C7</f>
        <v>0</v>
      </c>
      <c r="E7" s="5"/>
    </row>
    <row r="8" spans="1:5" x14ac:dyDescent="0.3">
      <c r="A8" s="16">
        <f>Goals!D8</f>
        <v>0</v>
      </c>
      <c r="B8" s="17" t="s">
        <v>16</v>
      </c>
      <c r="C8" s="19">
        <f>Goals!B8</f>
        <v>0</v>
      </c>
      <c r="D8" s="5">
        <f>Goals!C8</f>
        <v>0</v>
      </c>
      <c r="E8" s="5"/>
    </row>
    <row r="9" spans="1:5" x14ac:dyDescent="0.3">
      <c r="A9" s="16">
        <f>Goals!D9</f>
        <v>0</v>
      </c>
      <c r="B9" s="17" t="s">
        <v>18</v>
      </c>
      <c r="C9" s="19">
        <f>Goals!B9</f>
        <v>0</v>
      </c>
      <c r="D9" s="5">
        <f>Goals!C9</f>
        <v>0</v>
      </c>
      <c r="E9" s="5"/>
    </row>
    <row r="10" spans="1:5" x14ac:dyDescent="0.3">
      <c r="A10" s="16">
        <f>Goals!D10</f>
        <v>0</v>
      </c>
      <c r="B10" s="22" t="s">
        <v>41</v>
      </c>
      <c r="C10" s="19">
        <f>Goals!B10</f>
        <v>0</v>
      </c>
      <c r="D10" s="5">
        <f>Goals!C10</f>
        <v>0</v>
      </c>
      <c r="E10" s="5"/>
    </row>
    <row r="12" spans="1:5" x14ac:dyDescent="0.3">
      <c r="E12" s="24"/>
    </row>
    <row r="13" spans="1:5" x14ac:dyDescent="0.3">
      <c r="E13" s="24"/>
    </row>
    <row r="14" spans="1:5" x14ac:dyDescent="0.3">
      <c r="E14" s="24"/>
    </row>
    <row r="19" spans="2:2" x14ac:dyDescent="0.3">
      <c r="B19" s="24" t="s">
        <v>60</v>
      </c>
    </row>
    <row r="20" spans="2:2" x14ac:dyDescent="0.3">
      <c r="B20" s="24" t="s">
        <v>70</v>
      </c>
    </row>
    <row r="21" spans="2:2" x14ac:dyDescent="0.3">
      <c r="B21" s="24" t="s">
        <v>63</v>
      </c>
    </row>
    <row r="22" spans="2:2" x14ac:dyDescent="0.3">
      <c r="B22" s="24" t="s">
        <v>64</v>
      </c>
    </row>
    <row r="23" spans="2:2" x14ac:dyDescent="0.3">
      <c r="B23" s="24" t="s">
        <v>61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FinancialAdvice_Button3_Click">
                <anchor moveWithCells="1" sizeWithCells="1">
                  <from>
                    <xdr:col>1</xdr:col>
                    <xdr:colOff>167640</xdr:colOff>
                    <xdr:row>14</xdr:row>
                    <xdr:rowOff>106680</xdr:rowOff>
                  </from>
                  <to>
                    <xdr:col>2</xdr:col>
                    <xdr:colOff>144780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clearAdvice">
                <anchor moveWithCells="1" sizeWithCells="1">
                  <from>
                    <xdr:col>2</xdr:col>
                    <xdr:colOff>929640</xdr:colOff>
                    <xdr:row>14</xdr:row>
                    <xdr:rowOff>91440</xdr:rowOff>
                  </from>
                  <to>
                    <xdr:col>3</xdr:col>
                    <xdr:colOff>739140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saveMore">
                <anchor moveWithCells="1" sizeWithCells="1">
                  <from>
                    <xdr:col>5</xdr:col>
                    <xdr:colOff>396240</xdr:colOff>
                    <xdr:row>4</xdr:row>
                    <xdr:rowOff>38100</xdr:rowOff>
                  </from>
                  <to>
                    <xdr:col>6</xdr:col>
                    <xdr:colOff>182880</xdr:colOff>
                    <xdr:row>6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5615-145F-4919-849C-BE4064F9E94F}">
  <sheetPr codeName="Sheet9">
    <tabColor theme="7" tint="0.59999389629810485"/>
  </sheetPr>
  <dimension ref="A1:B12"/>
  <sheetViews>
    <sheetView workbookViewId="0">
      <selection activeCell="C14" sqref="C14"/>
    </sheetView>
  </sheetViews>
  <sheetFormatPr defaultRowHeight="14.4" x14ac:dyDescent="0.3"/>
  <cols>
    <col min="1" max="1" width="25.21875" customWidth="1"/>
    <col min="2" max="2" width="100.21875" customWidth="1"/>
  </cols>
  <sheetData>
    <row r="1" spans="1:2" x14ac:dyDescent="0.3">
      <c r="A1" t="s">
        <v>4</v>
      </c>
      <c r="B1" t="s">
        <v>42</v>
      </c>
    </row>
    <row r="2" spans="1:2" x14ac:dyDescent="0.3">
      <c r="A2" t="s">
        <v>6</v>
      </c>
      <c r="B2" s="25" t="s">
        <v>43</v>
      </c>
    </row>
    <row r="3" spans="1:2" x14ac:dyDescent="0.3">
      <c r="A3" t="s">
        <v>13</v>
      </c>
      <c r="B3" s="25" t="s">
        <v>44</v>
      </c>
    </row>
    <row r="4" spans="1:2" x14ac:dyDescent="0.3">
      <c r="A4" t="s">
        <v>40</v>
      </c>
      <c r="B4" s="25" t="s">
        <v>45</v>
      </c>
    </row>
    <row r="5" spans="1:2" x14ac:dyDescent="0.3">
      <c r="A5" t="s">
        <v>10</v>
      </c>
      <c r="B5" s="25" t="s">
        <v>46</v>
      </c>
    </row>
    <row r="6" spans="1:2" x14ac:dyDescent="0.3">
      <c r="A6" t="s">
        <v>7</v>
      </c>
      <c r="B6" s="25" t="s">
        <v>47</v>
      </c>
    </row>
    <row r="7" spans="1:2" x14ac:dyDescent="0.3">
      <c r="A7" t="s">
        <v>15</v>
      </c>
      <c r="B7" s="25" t="s">
        <v>50</v>
      </c>
    </row>
    <row r="8" spans="1:2" x14ac:dyDescent="0.3">
      <c r="A8" t="s">
        <v>16</v>
      </c>
      <c r="B8" s="25" t="s">
        <v>48</v>
      </c>
    </row>
    <row r="9" spans="1:2" x14ac:dyDescent="0.3">
      <c r="A9" t="s">
        <v>37</v>
      </c>
      <c r="B9" s="25" t="s">
        <v>49</v>
      </c>
    </row>
    <row r="11" spans="1:2" x14ac:dyDescent="0.3">
      <c r="B11" s="24" t="s">
        <v>69</v>
      </c>
    </row>
    <row r="12" spans="1:2" x14ac:dyDescent="0.3">
      <c r="B12" s="24" t="s">
        <v>66</v>
      </c>
    </row>
  </sheetData>
  <hyperlinks>
    <hyperlink ref="B2" r:id="rId1" xr:uid="{803C4DE8-72FD-443F-BEC1-6DF8968F5072}"/>
    <hyperlink ref="B3" r:id="rId2" xr:uid="{D420F642-A077-451B-8243-3DE9F5852510}"/>
    <hyperlink ref="B4" r:id="rId3" xr:uid="{445A892D-C571-468F-B34E-C2058E29185F}"/>
    <hyperlink ref="B5" r:id="rId4" xr:uid="{2FF766F7-0250-4556-B9D6-F5E199371BA5}"/>
    <hyperlink ref="B6" r:id="rId5" xr:uid="{3E0171A2-CEE8-46C0-9982-EAAA2182AB01}"/>
    <hyperlink ref="B7" r:id="rId6" xr:uid="{CE57F1F9-1FBD-4DF3-850B-390AA25920CC}"/>
    <hyperlink ref="B8" r:id="rId7" xr:uid="{5B0FB12A-2BDE-4547-B40F-F27740E47FA1}"/>
    <hyperlink ref="B9" r:id="rId8" xr:uid="{D2A4877D-C905-404E-86AE-47927250EE58}"/>
  </hyperlinks>
  <pageMargins left="0.7" right="0.7" top="0.75" bottom="0.75" header="0.3" footer="0.3"/>
  <tableParts count="1"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9C8AFA908B7A4BA04338F8BADBD0BD" ma:contentTypeVersion="7" ma:contentTypeDescription="Create a new document." ma:contentTypeScope="" ma:versionID="59d8b99e666378f418a5ec6b472597bf">
  <xsd:schema xmlns:xsd="http://www.w3.org/2001/XMLSchema" xmlns:xs="http://www.w3.org/2001/XMLSchema" xmlns:p="http://schemas.microsoft.com/office/2006/metadata/properties" xmlns:ns3="76664bfa-fe5d-468d-9cec-b869c2ff528d" xmlns:ns4="8f5ccc31-899d-4b20-a522-1182630df534" targetNamespace="http://schemas.microsoft.com/office/2006/metadata/properties" ma:root="true" ma:fieldsID="1cd74d3765c660ee620d17edb743c802" ns3:_="" ns4:_="">
    <xsd:import namespace="76664bfa-fe5d-468d-9cec-b869c2ff528d"/>
    <xsd:import namespace="8f5ccc31-899d-4b20-a522-1182630df53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64bfa-fe5d-468d-9cec-b869c2ff52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5ccc31-899d-4b20-a522-1182630df53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895F1A5-D647-44CE-9A3D-1766560F6B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664bfa-fe5d-468d-9cec-b869c2ff528d"/>
    <ds:schemaRef ds:uri="8f5ccc31-899d-4b20-a522-1182630df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1EFF735-D625-4A91-91D3-D8AC1CA2884C}">
  <ds:schemaRefs>
    <ds:schemaRef ds:uri="76664bfa-fe5d-468d-9cec-b869c2ff528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8f5ccc31-899d-4b20-a522-1182630df534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Home</vt:lpstr>
      <vt:lpstr>Expenses</vt:lpstr>
      <vt:lpstr>Income</vt:lpstr>
      <vt:lpstr>Expense Output</vt:lpstr>
      <vt:lpstr>Income Output</vt:lpstr>
      <vt:lpstr>Budget</vt:lpstr>
      <vt:lpstr>Goals</vt:lpstr>
      <vt:lpstr>Financial Advice</vt:lpstr>
      <vt:lpstr>Resources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Harpreet Ghotra</cp:lastModifiedBy>
  <cp:revision/>
  <dcterms:created xsi:type="dcterms:W3CDTF">2021-10-13T18:04:27Z</dcterms:created>
  <dcterms:modified xsi:type="dcterms:W3CDTF">2024-01-05T03:31:05Z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0x010100779C8AFA908B7A4BA04338F8BADBD0BD</vt:lpwstr>
  </property>
</Properties>
</file>